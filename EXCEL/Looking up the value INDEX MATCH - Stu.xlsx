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cuments\Downloads\class\"/>
    </mc:Choice>
  </mc:AlternateContent>
  <xr:revisionPtr revIDLastSave="0" documentId="13_ncr:1_{D2C36D49-8157-4D20-B954-03F7347530C3}" xr6:coauthVersionLast="47" xr6:coauthVersionMax="47" xr10:uidLastSave="{00000000-0000-0000-0000-000000000000}"/>
  <bookViews>
    <workbookView xWindow="-110" yWindow="-110" windowWidth="19420" windowHeight="12220" firstSheet="3" activeTab="6"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7" l="1"/>
  <c r="F5" i="7"/>
  <c r="C5" i="7"/>
  <c r="C22" i="7"/>
  <c r="C26" i="5"/>
  <c r="C24" i="5"/>
  <c r="H26" i="4"/>
  <c r="C3" i="6"/>
  <c r="D3" i="6"/>
  <c r="E3" i="6"/>
  <c r="F3" i="6"/>
  <c r="G3" i="6"/>
  <c r="H3" i="6"/>
  <c r="I3" i="6"/>
  <c r="B3" i="6"/>
  <c r="D21" i="5"/>
  <c r="E21" i="5"/>
  <c r="F21" i="5"/>
  <c r="G21" i="5"/>
  <c r="H21" i="5"/>
  <c r="I21" i="5"/>
  <c r="J21" i="5"/>
  <c r="C21" i="5"/>
  <c r="D12" i="1"/>
  <c r="H27" i="4"/>
  <c r="H28" i="4"/>
  <c r="H29" i="4"/>
  <c r="G27" i="4"/>
  <c r="G28" i="4"/>
  <c r="G29" i="4"/>
  <c r="G26" i="4"/>
  <c r="C25" i="5"/>
  <c r="I17" i="3"/>
  <c r="G5" i="1" l="1"/>
  <c r="G8" i="1" s="1"/>
  <c r="G7" i="1"/>
  <c r="G6" i="1"/>
  <c r="F18" i="3"/>
  <c r="F19" i="3"/>
  <c r="F20" i="3"/>
  <c r="F21" i="3"/>
  <c r="F22" i="3"/>
  <c r="F17" i="3"/>
</calcChain>
</file>

<file path=xl/sharedStrings.xml><?xml version="1.0" encoding="utf-8"?>
<sst xmlns="http://schemas.openxmlformats.org/spreadsheetml/2006/main" count="189" uniqueCount="119">
  <si>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</si>
  <si>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</si>
  <si>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</si>
  <si>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</si>
  <si>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</si>
  <si>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</si>
  <si>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</si>
  <si>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</si>
  <si>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</si>
  <si>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</si>
  <si>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</si>
  <si>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</si>
  <si>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</si>
  <si>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</si>
  <si>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</si>
  <si>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</si>
  <si>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</si>
  <si>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</si>
  <si>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</si>
  <si>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</si>
  <si>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</si>
  <si>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</si>
  <si>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</si>
  <si>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</si>
  <si>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</si>
  <si>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</si>
  <si>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</si>
  <si>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</si>
  <si>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</si>
  <si>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</si>
  <si>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</si>
  <si>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</si>
  <si>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</si>
  <si>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</si>
  <si>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</si>
  <si>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</si>
  <si>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</si>
  <si>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</si>
  <si>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</si>
  <si>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</si>
  <si>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</si>
  <si>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</si>
  <si>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</si>
  <si>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</si>
  <si>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</si>
  <si>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</si>
  <si>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</si>
  <si>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</si>
  <si>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</si>
  <si>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</si>
  <si>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</si>
  <si>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</si>
  <si>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</si>
  <si>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</si>
  <si>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</si>
  <si>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</si>
  <si>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</si>
  <si>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</si>
  <si>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</si>
  <si>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</si>
  <si>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</si>
  <si>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</si>
  <si>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</si>
  <si>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</si>
  <si>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</si>
  <si>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</si>
  <si>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</si>
  <si>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</si>
  <si>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</si>
  <si>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</si>
  <si>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</si>
  <si>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</si>
  <si>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</si>
  <si>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</si>
  <si>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</si>
  <si>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</si>
  <si>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</si>
  <si>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</si>
  <si>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</si>
  <si>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</si>
  <si>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</si>
  <si>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</si>
  <si>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</si>
  <si>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</si>
  <si>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</si>
  <si>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</si>
  <si>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</si>
  <si>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</si>
  <si>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</si>
  <si>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</si>
  <si>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</si>
  <si>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</si>
  <si>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</si>
  <si>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</si>
  <si>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</si>
  <si>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</si>
  <si>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</si>
  <si>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</si>
  <si>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</si>
  <si>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</si>
  <si>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</si>
  <si>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</si>
  <si>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</si>
  <si>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</si>
  <si>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</si>
  <si>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</si>
  <si>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</si>
  <si>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</si>
  <si>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</si>
  <si>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</si>
  <si>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</si>
  <si>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</si>
  <si>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</si>
  <si>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</si>
  <si>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</si>
  <si>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</si>
  <si>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</si>
  <si>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Total Sales</t>
  </si>
  <si>
    <t>Monday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</si>
</sst>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_ * #,##0.00_ ;_ * \-#,##0.00_ ;_ * &quot;-&quot;??_ ;_ @_ "/>
    <numFmt numFmtId="166" formatCode="_ [$₹-4009]\ * #,##0.00_ ;_ [$₹-4009]\ * \-#,##0.00_ ;_ [$₹-4009]\ * &quot;-&quot;??_ ;_ @_ "/>
    <numFmt numFmtId="167" formatCode="&quot;₹&quot;\ #,##0.00"/>
    <numFmt numFmtId="168"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10"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6" fontId="0" fillId="0" borderId="1" xfId="0" applyNumberFormat="1" applyBorder="1" applyAlignment="1">
      <alignment horizontal="center" vertical="center"/>
    </xf>
    <xf numFmtId="166" fontId="0" fillId="0" borderId="1" xfId="0" applyNumberFormat="1" applyBorder="1"/>
    <xf numFmtId="167" fontId="0" fillId="0" borderId="1" xfId="0" applyNumberFormat="1" applyBorder="1" applyAlignment="1">
      <alignment horizontal="center"/>
    </xf>
    <xf numFmtId="167" fontId="0" fillId="0" borderId="1" xfId="0" applyNumberFormat="1" applyBorder="1"/>
    <xf numFmtId="164" fontId="0" fillId="0" borderId="1" xfId="0" applyNumberFormat="1" applyBorder="1" applyAlignment="1">
      <alignment horizontal="center"/>
    </xf>
    <xf numFmtId="164"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8" fontId="23" fillId="0" borderId="0" xfId="5" applyNumberFormat="1" applyFont="1" applyAlignment="1">
      <alignment vertical="center"/>
    </xf>
    <xf numFmtId="168" fontId="22" fillId="0" borderId="0" xfId="5" applyNumberFormat="1" applyFont="1"/>
    <xf numFmtId="0" fontId="22" fillId="6" borderId="1" xfId="0" applyFont="1" applyFill="1" applyBorder="1"/>
    <xf numFmtId="168" fontId="22" fillId="0" borderId="1" xfId="5" applyNumberFormat="1" applyFont="1" applyBorder="1"/>
    <xf numFmtId="168" fontId="22" fillId="2" borderId="1" xfId="5" applyNumberFormat="1" applyFont="1" applyFill="1" applyBorder="1"/>
    <xf numFmtId="168"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168" fontId="0" fillId="0" borderId="0" xfId="0" applyNumberFormat="1"/>
    <xf numFmtId="0" fontId="11"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3" fillId="0" borderId="0" xfId="0" applyFont="1" applyAlignment="1">
      <alignment horizontal="left" vertical="top" wrapText="1"/>
    </xf>
    <xf numFmtId="0" fontId="22" fillId="0" borderId="0" xfId="0" applyFont="1" applyAlignment="1">
      <alignment horizontal="center" wrapText="1"/>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521805</xdr:colOff>
      <xdr:row>23</xdr:row>
      <xdr:rowOff>18404</xdr:rowOff>
    </xdr:from>
    <xdr:to>
      <xdr:col>13</xdr:col>
      <xdr:colOff>454164</xdr:colOff>
      <xdr:row>27</xdr:row>
      <xdr:rowOff>24754</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9588" y="4308795"/>
          <a:ext cx="6006272" cy="735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598367</xdr:colOff>
      <xdr:row>5</xdr:row>
      <xdr:rowOff>5801</xdr:rowOff>
    </xdr:from>
    <xdr:to>
      <xdr:col>11</xdr:col>
      <xdr:colOff>400540</xdr:colOff>
      <xdr:row>8</xdr:row>
      <xdr:rowOff>12150</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4367" y="933878"/>
          <a:ext cx="5907942" cy="563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457200</xdr:colOff>
      <xdr:row>6</xdr:row>
      <xdr:rowOff>69850</xdr:rowOff>
    </xdr:from>
    <xdr:to>
      <xdr:col>16</xdr:col>
      <xdr:colOff>44450</xdr:colOff>
      <xdr:row>8</xdr:row>
      <xdr:rowOff>76200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4100" y="12382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9" zoomScale="130" zoomScaleNormal="130" workbookViewId="0">
      <selection activeCell="G28" sqref="G28"/>
    </sheetView>
  </sheetViews>
  <sheetFormatPr defaultRowHeight="14.5" x14ac:dyDescent="0.35"/>
  <sheetData>
    <row r="1" spans="1:16" ht="21" customHeight="1" x14ac:dyDescent="0.35">
      <c r="A1" s="39" t="s">
        <v>12</v>
      </c>
      <c r="B1" s="39"/>
      <c r="C1" s="39"/>
      <c r="D1" s="39"/>
      <c r="E1" s="39"/>
      <c r="F1" s="39"/>
      <c r="G1" s="39"/>
      <c r="H1" s="39"/>
      <c r="I1" s="39"/>
      <c r="J1" s="39"/>
      <c r="K1" s="39"/>
      <c r="L1" s="39"/>
      <c r="M1" s="39"/>
      <c r="N1" s="39"/>
      <c r="O1" s="39"/>
      <c r="P1" s="39"/>
    </row>
    <row r="2" spans="1:16" x14ac:dyDescent="0.35">
      <c r="A2" s="39"/>
      <c r="B2" s="39"/>
      <c r="C2" s="39"/>
      <c r="D2" s="39"/>
      <c r="E2" s="39"/>
      <c r="F2" s="39"/>
      <c r="G2" s="39"/>
      <c r="H2" s="39"/>
      <c r="I2" s="39"/>
      <c r="J2" s="39"/>
      <c r="K2" s="39"/>
      <c r="L2" s="39"/>
      <c r="M2" s="39"/>
      <c r="N2" s="39"/>
      <c r="O2" s="39"/>
      <c r="P2" s="39"/>
    </row>
    <row r="3" spans="1:16" ht="20" x14ac:dyDescent="0.35">
      <c r="A3" s="37" t="s">
        <v>30</v>
      </c>
      <c r="B3" s="37"/>
      <c r="C3" s="37"/>
    </row>
    <row r="4" spans="1:16" ht="17" x14ac:dyDescent="0.5">
      <c r="A4" s="38" t="s">
        <v>13</v>
      </c>
      <c r="B4" s="38"/>
      <c r="C4" s="38"/>
      <c r="D4" s="38"/>
      <c r="E4" s="38"/>
    </row>
    <row r="6" spans="1:16" x14ac:dyDescent="0.35">
      <c r="A6" s="36" t="s">
        <v>14</v>
      </c>
      <c r="B6" s="36"/>
      <c r="C6" s="36"/>
      <c r="D6" s="36"/>
      <c r="E6" s="36"/>
      <c r="F6" s="36"/>
      <c r="G6" s="36"/>
      <c r="H6" s="36"/>
      <c r="I6" s="36"/>
      <c r="J6" s="36"/>
      <c r="K6" s="36"/>
      <c r="L6" s="36"/>
    </row>
    <row r="7" spans="1:16" x14ac:dyDescent="0.35">
      <c r="A7" s="36" t="s">
        <v>15</v>
      </c>
      <c r="B7" s="36"/>
      <c r="C7" s="36"/>
      <c r="D7" s="36"/>
      <c r="E7" s="36"/>
      <c r="F7" s="36"/>
      <c r="G7" s="36"/>
      <c r="H7" s="36"/>
      <c r="I7" s="36"/>
      <c r="J7" s="36"/>
      <c r="K7" s="36"/>
      <c r="L7" s="36"/>
    </row>
    <row r="8" spans="1:16" x14ac:dyDescent="0.35">
      <c r="A8" s="36" t="s">
        <v>16</v>
      </c>
      <c r="B8" s="36"/>
      <c r="C8" s="36"/>
      <c r="D8" s="36"/>
      <c r="E8" s="36"/>
      <c r="F8" s="36"/>
      <c r="G8" s="36"/>
      <c r="H8" s="36"/>
      <c r="I8" s="36"/>
      <c r="J8" s="36"/>
      <c r="K8" s="36"/>
      <c r="L8" s="36"/>
    </row>
    <row r="10" spans="1:16" ht="20" x14ac:dyDescent="0.35">
      <c r="A10" s="37" t="s">
        <v>31</v>
      </c>
      <c r="B10" s="37"/>
      <c r="C10" s="37"/>
    </row>
    <row r="11" spans="1:16" ht="17" x14ac:dyDescent="0.5">
      <c r="A11" s="38" t="s">
        <v>32</v>
      </c>
      <c r="B11" s="38"/>
      <c r="C11" s="38"/>
      <c r="D11" s="38"/>
      <c r="E11" s="38"/>
      <c r="F11" s="38"/>
      <c r="G11" s="38"/>
      <c r="H11" s="38"/>
      <c r="I11" s="38"/>
    </row>
    <row r="13" spans="1:16" x14ac:dyDescent="0.35">
      <c r="A13" t="s">
        <v>35</v>
      </c>
    </row>
    <row r="15" spans="1:16" x14ac:dyDescent="0.35">
      <c r="A15" t="s">
        <v>33</v>
      </c>
    </row>
    <row r="17" spans="1:8" x14ac:dyDescent="0.35">
      <c r="A17" t="s">
        <v>34</v>
      </c>
    </row>
    <row r="19" spans="1:8" x14ac:dyDescent="0.35">
      <c r="A19" t="s">
        <v>36</v>
      </c>
    </row>
    <row r="20" spans="1:8" x14ac:dyDescent="0.35">
      <c r="A20" t="s">
        <v>37</v>
      </c>
    </row>
    <row r="21" spans="1:8" x14ac:dyDescent="0.35">
      <c r="A21" t="s">
        <v>38</v>
      </c>
    </row>
    <row r="24" spans="1:8" x14ac:dyDescent="0.35">
      <c r="A24" s="1" t="s">
        <v>17</v>
      </c>
      <c r="B24" s="1" t="s">
        <v>18</v>
      </c>
      <c r="C24" s="1" t="s">
        <v>19</v>
      </c>
      <c r="D24" s="1" t="s">
        <v>20</v>
      </c>
      <c r="E24" s="1" t="s">
        <v>21</v>
      </c>
      <c r="G24" s="6" t="s">
        <v>17</v>
      </c>
      <c r="H24" s="3">
        <v>2</v>
      </c>
    </row>
    <row r="25" spans="1:8" x14ac:dyDescent="0.35">
      <c r="A25" s="5" t="s">
        <v>22</v>
      </c>
      <c r="B25" s="5">
        <v>45</v>
      </c>
      <c r="C25" s="5">
        <v>34</v>
      </c>
      <c r="D25" s="5">
        <v>38</v>
      </c>
      <c r="E25" s="5">
        <v>43</v>
      </c>
      <c r="G25" s="7" t="s">
        <v>26</v>
      </c>
      <c r="H25" s="3">
        <v>1</v>
      </c>
    </row>
    <row r="26" spans="1:8" x14ac:dyDescent="0.35">
      <c r="A26" s="5" t="s">
        <v>23</v>
      </c>
      <c r="B26" s="5">
        <v>23</v>
      </c>
      <c r="C26" s="5">
        <v>45</v>
      </c>
      <c r="D26" s="5">
        <v>39</v>
      </c>
      <c r="E26" s="5">
        <v>32</v>
      </c>
      <c r="G26" s="4" t="s">
        <v>27</v>
      </c>
      <c r="H26" s="3"/>
    </row>
    <row r="27" spans="1:8" x14ac:dyDescent="0.35">
      <c r="A27" s="5" t="s">
        <v>24</v>
      </c>
      <c r="B27" s="5">
        <v>43</v>
      </c>
      <c r="C27" s="5">
        <v>46</v>
      </c>
      <c r="D27" s="5">
        <v>50</v>
      </c>
      <c r="E27" s="5">
        <v>54</v>
      </c>
    </row>
    <row r="28" spans="1:8" x14ac:dyDescent="0.35">
      <c r="A28" s="5" t="s">
        <v>25</v>
      </c>
      <c r="B28" s="5">
        <v>55</v>
      </c>
      <c r="C28" s="5">
        <v>44</v>
      </c>
      <c r="D28" s="5">
        <v>55</v>
      </c>
      <c r="E28" s="5">
        <v>37</v>
      </c>
    </row>
    <row r="29" spans="1:8" x14ac:dyDescent="0.35">
      <c r="A29" s="5" t="s">
        <v>28</v>
      </c>
      <c r="B29" s="5">
        <v>44</v>
      </c>
      <c r="C29" s="5">
        <v>43</v>
      </c>
      <c r="D29" s="5">
        <v>24</v>
      </c>
      <c r="E29" s="5">
        <v>64</v>
      </c>
    </row>
    <row r="30" spans="1:8" x14ac:dyDescent="0.35">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21" zoomScale="130" zoomScaleNormal="130" workbookViewId="0">
      <selection activeCell="I17" sqref="I17"/>
    </sheetView>
  </sheetViews>
  <sheetFormatPr defaultRowHeight="14.5" x14ac:dyDescent="0.35"/>
  <cols>
    <col min="6" max="6" width="14.26953125" customWidth="1"/>
  </cols>
  <sheetData>
    <row r="1" spans="1:18" ht="21" x14ac:dyDescent="0.5">
      <c r="A1" s="40" t="s">
        <v>39</v>
      </c>
      <c r="B1" s="40"/>
      <c r="C1" s="40"/>
      <c r="D1" s="40"/>
      <c r="E1" s="40"/>
      <c r="F1" s="40"/>
      <c r="G1" s="40"/>
      <c r="H1" s="40"/>
      <c r="I1" s="40"/>
      <c r="J1" s="40"/>
      <c r="K1" s="40"/>
      <c r="L1" s="40"/>
      <c r="M1" s="40"/>
      <c r="N1" s="40"/>
      <c r="O1" s="40"/>
      <c r="P1" s="40"/>
      <c r="Q1" s="40"/>
      <c r="R1" s="40"/>
    </row>
    <row r="3" spans="1:18" ht="15.5" x14ac:dyDescent="0.45">
      <c r="A3" s="41" t="s">
        <v>40</v>
      </c>
      <c r="B3" s="41"/>
      <c r="C3" s="41"/>
      <c r="D3" s="41"/>
      <c r="E3" s="41"/>
      <c r="F3" s="41"/>
    </row>
    <row r="5" spans="1:18" x14ac:dyDescent="0.35">
      <c r="A5" t="s">
        <v>44</v>
      </c>
    </row>
    <row r="7" spans="1:18" x14ac:dyDescent="0.35">
      <c r="A7" t="s">
        <v>45</v>
      </c>
    </row>
    <row r="9" spans="1:18" x14ac:dyDescent="0.35">
      <c r="A9" t="s">
        <v>46</v>
      </c>
    </row>
    <row r="11" spans="1:18" x14ac:dyDescent="0.35">
      <c r="A11" t="s">
        <v>41</v>
      </c>
    </row>
    <row r="12" spans="1:18" x14ac:dyDescent="0.35">
      <c r="A12" t="s">
        <v>42</v>
      </c>
    </row>
    <row r="13" spans="1:18" x14ac:dyDescent="0.35">
      <c r="A13" t="s">
        <v>43</v>
      </c>
    </row>
    <row r="16" spans="1:18" x14ac:dyDescent="0.35">
      <c r="A16" s="1" t="s">
        <v>17</v>
      </c>
      <c r="B16" s="1" t="s">
        <v>18</v>
      </c>
      <c r="C16" s="1" t="s">
        <v>19</v>
      </c>
      <c r="D16" s="1" t="s">
        <v>20</v>
      </c>
      <c r="E16" s="1" t="s">
        <v>21</v>
      </c>
      <c r="F16" s="1" t="s">
        <v>50</v>
      </c>
      <c r="H16" s="6" t="s">
        <v>47</v>
      </c>
      <c r="I16" s="3" t="s">
        <v>25</v>
      </c>
    </row>
    <row r="17" spans="1:9" x14ac:dyDescent="0.35">
      <c r="A17" s="5" t="s">
        <v>22</v>
      </c>
      <c r="B17" s="9">
        <v>45</v>
      </c>
      <c r="C17" s="9">
        <v>34</v>
      </c>
      <c r="D17" s="9">
        <v>38</v>
      </c>
      <c r="E17" s="9">
        <v>43</v>
      </c>
      <c r="F17" s="10">
        <f>SUM(B17:E17)</f>
        <v>160</v>
      </c>
      <c r="H17" s="7" t="s">
        <v>48</v>
      </c>
      <c r="I17" s="8">
        <f>MATCH(I16,A17:A22,0)</f>
        <v>4</v>
      </c>
    </row>
    <row r="18" spans="1:9" x14ac:dyDescent="0.35">
      <c r="A18" s="5" t="s">
        <v>23</v>
      </c>
      <c r="B18" s="9">
        <v>23</v>
      </c>
      <c r="C18" s="9">
        <v>45</v>
      </c>
      <c r="D18" s="9">
        <v>39</v>
      </c>
      <c r="E18" s="9">
        <v>32</v>
      </c>
      <c r="F18" s="10">
        <f t="shared" ref="F18:F22" si="0">SUM(B18:E18)</f>
        <v>139</v>
      </c>
    </row>
    <row r="19" spans="1:9" x14ac:dyDescent="0.35">
      <c r="A19" s="5" t="s">
        <v>24</v>
      </c>
      <c r="B19" s="9">
        <v>43</v>
      </c>
      <c r="C19" s="9">
        <v>46</v>
      </c>
      <c r="D19" s="9">
        <v>50</v>
      </c>
      <c r="E19" s="9">
        <v>54</v>
      </c>
      <c r="F19" s="10">
        <f t="shared" si="0"/>
        <v>193</v>
      </c>
    </row>
    <row r="20" spans="1:9" x14ac:dyDescent="0.35">
      <c r="A20" s="5" t="s">
        <v>25</v>
      </c>
      <c r="B20" s="9">
        <v>55</v>
      </c>
      <c r="C20" s="9">
        <v>44</v>
      </c>
      <c r="D20" s="9">
        <v>55</v>
      </c>
      <c r="E20" s="9">
        <v>37</v>
      </c>
      <c r="F20" s="10">
        <f t="shared" si="0"/>
        <v>191</v>
      </c>
    </row>
    <row r="21" spans="1:9" x14ac:dyDescent="0.35">
      <c r="A21" s="5" t="s">
        <v>28</v>
      </c>
      <c r="B21" s="9">
        <v>44</v>
      </c>
      <c r="C21" s="9">
        <v>43</v>
      </c>
      <c r="D21" s="9">
        <v>24</v>
      </c>
      <c r="E21" s="9">
        <v>64</v>
      </c>
      <c r="F21" s="10">
        <f t="shared" si="0"/>
        <v>175</v>
      </c>
    </row>
    <row r="22" spans="1:9" x14ac:dyDescent="0.35">
      <c r="A22" s="5" t="s">
        <v>29</v>
      </c>
      <c r="B22" s="9">
        <v>67</v>
      </c>
      <c r="C22" s="9">
        <v>34</v>
      </c>
      <c r="D22" s="9">
        <v>25</v>
      </c>
      <c r="E22" s="9">
        <v>45</v>
      </c>
      <c r="F22" s="10">
        <f t="shared" si="0"/>
        <v>171</v>
      </c>
    </row>
    <row r="25" spans="1:9" ht="18.5" x14ac:dyDescent="0.45">
      <c r="A25" s="42" t="s">
        <v>49</v>
      </c>
      <c r="B25" s="42"/>
      <c r="C25" s="42"/>
      <c r="D25" s="42"/>
      <c r="E25" s="42"/>
    </row>
    <row r="27" spans="1:9" x14ac:dyDescent="0.35">
      <c r="B27" s="7" t="s">
        <v>17</v>
      </c>
      <c r="C27" s="2" t="s">
        <v>24</v>
      </c>
    </row>
    <row r="28" spans="1:9" x14ac:dyDescent="0.35">
      <c r="B28" s="7" t="s">
        <v>26</v>
      </c>
      <c r="C28" s="2" t="s">
        <v>21</v>
      </c>
    </row>
    <row r="29" spans="1:9" x14ac:dyDescent="0.35">
      <c r="B29" s="7" t="s">
        <v>11</v>
      </c>
      <c r="C29" s="8"/>
    </row>
    <row r="31" spans="1:9" ht="18.5" x14ac:dyDescent="0.45">
      <c r="A31" s="42" t="s">
        <v>51</v>
      </c>
      <c r="B31" s="42"/>
      <c r="C31" s="42"/>
      <c r="D31" s="42"/>
      <c r="E31" s="42"/>
    </row>
    <row r="33" spans="2:3" x14ac:dyDescent="0.35">
      <c r="B33" s="7" t="s">
        <v>17</v>
      </c>
      <c r="C33" s="2" t="s">
        <v>29</v>
      </c>
    </row>
    <row r="34" spans="2:3" x14ac:dyDescent="0.35">
      <c r="B34" s="7" t="s">
        <v>26</v>
      </c>
      <c r="C34" s="2"/>
    </row>
    <row r="35" spans="2:3" x14ac:dyDescent="0.35">
      <c r="B35" s="7" t="s">
        <v>11</v>
      </c>
      <c r="C35" s="2"/>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1" sqref="D11"/>
    </sheetView>
  </sheetViews>
  <sheetFormatPr defaultRowHeight="14.5" x14ac:dyDescent="0.35"/>
  <cols>
    <col min="2" max="2" width="15.54296875" bestFit="1" customWidth="1"/>
    <col min="4" max="4" width="10.08984375" bestFit="1" customWidth="1"/>
    <col min="5" max="5" width="8.26953125" bestFit="1" customWidth="1"/>
  </cols>
  <sheetData>
    <row r="2" spans="2:7" x14ac:dyDescent="0.35">
      <c r="B2" s="43" t="s">
        <v>52</v>
      </c>
      <c r="C2" s="43"/>
      <c r="D2" s="43"/>
      <c r="E2" s="43"/>
      <c r="F2" s="43"/>
    </row>
    <row r="4" spans="2:7" x14ac:dyDescent="0.35">
      <c r="B4" s="1" t="s">
        <v>0</v>
      </c>
      <c r="C4" s="1" t="s">
        <v>1</v>
      </c>
      <c r="D4" s="1" t="s">
        <v>2</v>
      </c>
      <c r="E4" s="1" t="s">
        <v>3</v>
      </c>
      <c r="F4" s="1" t="s">
        <v>4</v>
      </c>
      <c r="G4" s="1" t="s">
        <v>50</v>
      </c>
    </row>
    <row r="5" spans="2:7" x14ac:dyDescent="0.35">
      <c r="B5" s="2" t="s">
        <v>5</v>
      </c>
      <c r="C5" s="11">
        <v>1</v>
      </c>
      <c r="D5" s="11">
        <v>1.1100000000000001</v>
      </c>
      <c r="E5" s="11">
        <v>1.24</v>
      </c>
      <c r="F5" s="11">
        <v>1.44</v>
      </c>
      <c r="G5" s="12">
        <f>SUM(C5:F5)</f>
        <v>4.7900000000000009</v>
      </c>
    </row>
    <row r="6" spans="2:7" x14ac:dyDescent="0.35">
      <c r="B6" s="2" t="s">
        <v>6</v>
      </c>
      <c r="C6" s="13">
        <v>7.16</v>
      </c>
      <c r="D6" s="13">
        <v>7.34</v>
      </c>
      <c r="E6" s="13">
        <v>7.43</v>
      </c>
      <c r="F6" s="13">
        <v>7.71</v>
      </c>
      <c r="G6" s="14">
        <f>SUM(C6:F6)</f>
        <v>29.64</v>
      </c>
    </row>
    <row r="7" spans="2:7" x14ac:dyDescent="0.35">
      <c r="B7" s="2" t="s">
        <v>7</v>
      </c>
      <c r="C7" s="13">
        <v>0.81</v>
      </c>
      <c r="D7" s="13">
        <v>1.1000000000000001</v>
      </c>
      <c r="E7" s="13">
        <v>1.21</v>
      </c>
      <c r="F7" s="13">
        <v>1.58</v>
      </c>
      <c r="G7" s="14">
        <f>SUM(C7:F7)</f>
        <v>4.7</v>
      </c>
    </row>
    <row r="8" spans="2:7" x14ac:dyDescent="0.35">
      <c r="B8" s="2" t="s">
        <v>8</v>
      </c>
      <c r="C8" s="13">
        <v>6</v>
      </c>
      <c r="D8" s="13">
        <v>7</v>
      </c>
      <c r="E8" s="13">
        <v>7.2</v>
      </c>
      <c r="F8" s="13">
        <v>8.6300000000000008</v>
      </c>
      <c r="G8" s="14">
        <f>SUM(G5:G7)</f>
        <v>39.130000000000003</v>
      </c>
    </row>
    <row r="10" spans="2:7" x14ac:dyDescent="0.35">
      <c r="C10" s="3" t="s">
        <v>9</v>
      </c>
      <c r="D10" s="3" t="s">
        <v>6</v>
      </c>
    </row>
    <row r="11" spans="2:7" x14ac:dyDescent="0.35">
      <c r="C11" s="3" t="s">
        <v>10</v>
      </c>
      <c r="D11" s="3" t="s">
        <v>2</v>
      </c>
    </row>
    <row r="12" spans="2:7" x14ac:dyDescent="0.35">
      <c r="C12" s="3" t="s">
        <v>11</v>
      </c>
      <c r="D12" s="3">
        <f>INDEX(B4:G8,MATCH(D10,B4:B8,0),MATCH(D11,B4:F4,0))</f>
        <v>7.34</v>
      </c>
    </row>
  </sheetData>
  <mergeCells count="1">
    <mergeCell ref="B2:F2"/>
  </mergeCells>
  <dataValidations count="2">
    <dataValidation type="list" allowBlank="1" showInputMessage="1" showErrorMessage="1" sqref="D10" xr:uid="{52BAC4B3-28C4-4ADA-B917-FDB2D88EDB74}">
      <formula1>$B$5:$B$8</formula1>
    </dataValidation>
    <dataValidation type="list" allowBlank="1" showInputMessage="1" showErrorMessage="1" sqref="D11" xr:uid="{2AEF1B55-61E6-45C4-B26B-F0D238AE5588}">
      <formula1>$C$4:$F$4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15" zoomScale="115" zoomScaleNormal="115" workbookViewId="0">
      <selection activeCell="H34" sqref="H34"/>
    </sheetView>
  </sheetViews>
  <sheetFormatPr defaultRowHeight="14.5" x14ac:dyDescent="0.35"/>
  <cols>
    <col min="3" max="3" width="10.1796875" bestFit="1" customWidth="1"/>
    <col min="4" max="4" width="11.453125" bestFit="1" customWidth="1"/>
    <col min="7" max="7" width="10.90625" customWidth="1"/>
    <col min="8" max="8" width="11.1796875" customWidth="1"/>
  </cols>
  <sheetData>
    <row r="2" spans="2:17" x14ac:dyDescent="0.35">
      <c r="B2" s="33" t="s">
        <v>107</v>
      </c>
      <c r="C2" s="33"/>
      <c r="D2" s="33"/>
      <c r="E2" s="33"/>
      <c r="F2" s="33"/>
      <c r="G2" s="33"/>
      <c r="H2" s="33"/>
      <c r="I2" s="33"/>
      <c r="J2" s="33"/>
      <c r="K2" s="33"/>
      <c r="L2" s="33"/>
      <c r="M2" s="33"/>
      <c r="N2" s="33"/>
      <c r="O2" s="33"/>
      <c r="P2" s="33"/>
      <c r="Q2" s="33"/>
    </row>
    <row r="3" spans="2:17" x14ac:dyDescent="0.35">
      <c r="B3" s="33"/>
      <c r="C3" s="33"/>
      <c r="D3" s="33"/>
      <c r="E3" s="33"/>
      <c r="F3" s="33"/>
      <c r="G3" s="33"/>
      <c r="H3" s="33"/>
      <c r="I3" s="33"/>
      <c r="J3" s="33"/>
      <c r="K3" s="33"/>
      <c r="L3" s="33"/>
      <c r="M3" s="33"/>
      <c r="N3" s="33"/>
      <c r="O3" s="33"/>
      <c r="P3" s="33"/>
      <c r="Q3" s="33"/>
    </row>
    <row r="4" spans="2:17" x14ac:dyDescent="0.35">
      <c r="B4" s="33"/>
      <c r="C4" s="33"/>
      <c r="D4" s="33"/>
      <c r="E4" s="33"/>
      <c r="F4" s="33"/>
      <c r="G4" s="33"/>
      <c r="H4" s="33"/>
      <c r="I4" s="33"/>
      <c r="J4" s="33"/>
      <c r="K4" s="33"/>
      <c r="L4" s="33"/>
      <c r="M4" s="33"/>
      <c r="N4" s="33"/>
      <c r="O4" s="33"/>
      <c r="P4" s="33"/>
      <c r="Q4" s="33"/>
    </row>
    <row r="5" spans="2:17" x14ac:dyDescent="0.35">
      <c r="B5" s="33"/>
      <c r="C5" s="33"/>
      <c r="D5" s="33"/>
      <c r="E5" s="33"/>
      <c r="F5" s="33"/>
      <c r="G5" s="33"/>
      <c r="H5" s="33"/>
      <c r="I5" s="33"/>
      <c r="J5" s="33"/>
      <c r="K5" s="33"/>
      <c r="L5" s="33"/>
      <c r="M5" s="33"/>
      <c r="N5" s="33"/>
      <c r="O5" s="33"/>
      <c r="P5" s="33"/>
      <c r="Q5" s="33"/>
    </row>
    <row r="7" spans="2:17" x14ac:dyDescent="0.35">
      <c r="B7" s="44" t="s">
        <v>53</v>
      </c>
      <c r="C7" s="44"/>
      <c r="D7" s="44"/>
      <c r="E7" s="44"/>
      <c r="F7" s="44"/>
      <c r="G7" s="44"/>
      <c r="H7" s="44"/>
      <c r="I7" s="44"/>
      <c r="J7" s="44"/>
      <c r="K7" s="44"/>
      <c r="L7" s="44"/>
      <c r="M7" s="44"/>
      <c r="N7" s="44"/>
      <c r="O7" s="44"/>
      <c r="P7" s="44"/>
      <c r="Q7" s="44"/>
    </row>
    <row r="8" spans="2:17" x14ac:dyDescent="0.35">
      <c r="B8" s="44"/>
      <c r="C8" s="44"/>
      <c r="D8" s="44"/>
      <c r="E8" s="44"/>
      <c r="F8" s="44"/>
      <c r="G8" s="44"/>
      <c r="H8" s="44"/>
      <c r="I8" s="44"/>
      <c r="J8" s="44"/>
      <c r="K8" s="44"/>
      <c r="L8" s="44"/>
      <c r="M8" s="44"/>
      <c r="N8" s="44"/>
      <c r="O8" s="44"/>
      <c r="P8" s="44"/>
      <c r="Q8" s="44"/>
    </row>
    <row r="9" spans="2:17" x14ac:dyDescent="0.35">
      <c r="B9" s="44"/>
      <c r="C9" s="44"/>
      <c r="D9" s="44"/>
      <c r="E9" s="44"/>
      <c r="F9" s="44"/>
      <c r="G9" s="44"/>
      <c r="H9" s="44"/>
      <c r="I9" s="44"/>
      <c r="J9" s="44"/>
      <c r="K9" s="44"/>
      <c r="L9" s="44"/>
      <c r="M9" s="44"/>
      <c r="N9" s="44"/>
      <c r="O9" s="44"/>
      <c r="P9" s="44"/>
      <c r="Q9" s="44"/>
    </row>
    <row r="11" spans="2:17" ht="20" x14ac:dyDescent="0.35">
      <c r="B11" s="34" t="s">
        <v>54</v>
      </c>
      <c r="C11" s="34"/>
      <c r="D11" s="34"/>
      <c r="F11" s="35" t="s">
        <v>55</v>
      </c>
      <c r="G11" s="35"/>
      <c r="H11" s="35"/>
      <c r="I11" s="35"/>
      <c r="J11" s="35"/>
      <c r="K11" s="35"/>
      <c r="L11" s="35"/>
      <c r="M11" s="35"/>
    </row>
    <row r="13" spans="2:17" x14ac:dyDescent="0.35">
      <c r="B13" t="s">
        <v>56</v>
      </c>
    </row>
    <row r="15" spans="2:17" x14ac:dyDescent="0.35">
      <c r="B15" t="s">
        <v>59</v>
      </c>
    </row>
    <row r="16" spans="2:17" x14ac:dyDescent="0.35">
      <c r="B16" t="s">
        <v>57</v>
      </c>
    </row>
    <row r="18" spans="2:8" x14ac:dyDescent="0.35">
      <c r="B18" t="s">
        <v>60</v>
      </c>
    </row>
    <row r="19" spans="2:8" x14ac:dyDescent="0.35">
      <c r="B19" t="s">
        <v>58</v>
      </c>
    </row>
    <row r="20" spans="2:8" x14ac:dyDescent="0.35">
      <c r="B20" t="s">
        <v>61</v>
      </c>
    </row>
    <row r="21" spans="2:8" x14ac:dyDescent="0.35">
      <c r="B21" t="s">
        <v>62</v>
      </c>
    </row>
    <row r="22" spans="2:8" x14ac:dyDescent="0.35">
      <c r="B22" t="s">
        <v>63</v>
      </c>
    </row>
    <row r="24" spans="2:8" x14ac:dyDescent="0.35">
      <c r="B24" s="15" t="s">
        <v>64</v>
      </c>
      <c r="C24" s="15" t="s">
        <v>65</v>
      </c>
      <c r="D24" s="15" t="s">
        <v>66</v>
      </c>
    </row>
    <row r="25" spans="2:8" x14ac:dyDescent="0.35">
      <c r="B25" s="2">
        <v>1</v>
      </c>
      <c r="C25" s="8" t="s">
        <v>67</v>
      </c>
      <c r="D25" s="2">
        <v>70</v>
      </c>
      <c r="F25" s="20" t="s">
        <v>64</v>
      </c>
      <c r="G25" s="20" t="s">
        <v>65</v>
      </c>
      <c r="H25" s="20" t="s">
        <v>77</v>
      </c>
    </row>
    <row r="26" spans="2:8" x14ac:dyDescent="0.35">
      <c r="B26" s="2">
        <v>2</v>
      </c>
      <c r="C26" s="8" t="s">
        <v>68</v>
      </c>
      <c r="D26" s="2">
        <v>61</v>
      </c>
      <c r="F26" s="3">
        <v>4</v>
      </c>
      <c r="G26" s="3" t="str">
        <f>VLOOKUP($F26,$B$24:$D$34,MATCH(G$25,$B$24:$D$24,0),FALSE)</f>
        <v>Elk</v>
      </c>
      <c r="H26" s="3">
        <f>VLOOKUP(F26,$B$24:$D$34,MATCH($H$25,$F$25:$H$25,FALSE))</f>
        <v>45</v>
      </c>
    </row>
    <row r="27" spans="2:8" x14ac:dyDescent="0.35">
      <c r="B27" s="2">
        <v>3</v>
      </c>
      <c r="C27" s="8" t="s">
        <v>69</v>
      </c>
      <c r="D27" s="2">
        <v>50</v>
      </c>
      <c r="F27" s="3">
        <v>5</v>
      </c>
      <c r="G27" s="3" t="str">
        <f t="shared" ref="G27:G29" si="0">VLOOKUP($F27,$B$24:$D$34,MATCH(G$25,$B$24:$D$24,0),FALSE)</f>
        <v>Coyote</v>
      </c>
      <c r="H27" s="3">
        <f t="shared" ref="H27:H29" si="1">VLOOKUP(F27,$B$24:$D$34,MATCH($H$25,$F$25:$H$25,FALSE))</f>
        <v>43</v>
      </c>
    </row>
    <row r="28" spans="2:8" x14ac:dyDescent="0.35">
      <c r="B28" s="2">
        <v>4</v>
      </c>
      <c r="C28" s="8" t="s">
        <v>70</v>
      </c>
      <c r="D28" s="2">
        <v>45</v>
      </c>
      <c r="F28" s="3">
        <v>7</v>
      </c>
      <c r="G28" s="3" t="str">
        <f t="shared" si="0"/>
        <v>Ostrich</v>
      </c>
      <c r="H28" s="3">
        <f t="shared" si="1"/>
        <v>40</v>
      </c>
    </row>
    <row r="29" spans="2:8" x14ac:dyDescent="0.35">
      <c r="B29" s="2">
        <v>5</v>
      </c>
      <c r="C29" s="8" t="s">
        <v>71</v>
      </c>
      <c r="D29" s="2">
        <v>43</v>
      </c>
      <c r="F29" s="3">
        <v>2</v>
      </c>
      <c r="G29" s="3" t="str">
        <f t="shared" si="0"/>
        <v>Antelope</v>
      </c>
      <c r="H29" s="3">
        <f t="shared" si="1"/>
        <v>61</v>
      </c>
    </row>
    <row r="30" spans="2:8" x14ac:dyDescent="0.35">
      <c r="B30" s="2">
        <v>6</v>
      </c>
      <c r="C30" s="8" t="s">
        <v>72</v>
      </c>
      <c r="D30" s="2">
        <v>42</v>
      </c>
    </row>
    <row r="31" spans="2:8" x14ac:dyDescent="0.35">
      <c r="B31" s="2">
        <v>7</v>
      </c>
      <c r="C31" s="8" t="s">
        <v>73</v>
      </c>
      <c r="D31" s="2">
        <v>40</v>
      </c>
    </row>
    <row r="32" spans="2:8" x14ac:dyDescent="0.35">
      <c r="B32" s="2">
        <v>8</v>
      </c>
      <c r="C32" s="8" t="s">
        <v>74</v>
      </c>
      <c r="D32" s="2">
        <v>39.35</v>
      </c>
    </row>
    <row r="33" spans="2:4" x14ac:dyDescent="0.35">
      <c r="B33" s="2">
        <v>9</v>
      </c>
      <c r="C33" s="8" t="s">
        <v>75</v>
      </c>
      <c r="D33" s="2">
        <v>35.5</v>
      </c>
    </row>
    <row r="34" spans="2:4" x14ac:dyDescent="0.35">
      <c r="B34" s="2">
        <v>10</v>
      </c>
      <c r="C34" s="8" t="s">
        <v>76</v>
      </c>
      <c r="D34" s="2">
        <v>35</v>
      </c>
    </row>
    <row r="35" spans="2:4" x14ac:dyDescent="0.35">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26"/>
  <sheetViews>
    <sheetView topLeftCell="A8" zoomScale="115" zoomScaleNormal="115" workbookViewId="0">
      <selection activeCell="K20" sqref="K20"/>
    </sheetView>
  </sheetViews>
  <sheetFormatPr defaultRowHeight="14.5" x14ac:dyDescent="0.35"/>
  <cols>
    <col min="2" max="2" width="16.36328125" customWidth="1"/>
  </cols>
  <sheetData>
    <row r="2" spans="2:17" x14ac:dyDescent="0.35">
      <c r="B2" s="33" t="s">
        <v>108</v>
      </c>
      <c r="C2" s="33"/>
      <c r="D2" s="33"/>
      <c r="E2" s="33"/>
      <c r="F2" s="33"/>
      <c r="G2" s="33"/>
      <c r="H2" s="33"/>
      <c r="I2" s="33"/>
      <c r="J2" s="33"/>
      <c r="K2" s="33"/>
      <c r="L2" s="33"/>
      <c r="M2" s="33"/>
      <c r="N2" s="33"/>
      <c r="O2" s="33"/>
      <c r="P2" s="33"/>
      <c r="Q2" s="33"/>
    </row>
    <row r="3" spans="2:17" x14ac:dyDescent="0.35">
      <c r="B3" s="33"/>
      <c r="C3" s="33"/>
      <c r="D3" s="33"/>
      <c r="E3" s="33"/>
      <c r="F3" s="33"/>
      <c r="G3" s="33"/>
      <c r="H3" s="33"/>
      <c r="I3" s="33"/>
      <c r="J3" s="33"/>
      <c r="K3" s="33"/>
      <c r="L3" s="33"/>
      <c r="M3" s="33"/>
      <c r="N3" s="33"/>
      <c r="O3" s="33"/>
      <c r="P3" s="33"/>
      <c r="Q3" s="33"/>
    </row>
    <row r="4" spans="2:17" x14ac:dyDescent="0.35">
      <c r="B4" s="33"/>
      <c r="C4" s="33"/>
      <c r="D4" s="33"/>
      <c r="E4" s="33"/>
      <c r="F4" s="33"/>
      <c r="G4" s="33"/>
      <c r="H4" s="33"/>
      <c r="I4" s="33"/>
      <c r="J4" s="33"/>
      <c r="K4" s="33"/>
      <c r="L4" s="33"/>
      <c r="M4" s="33"/>
      <c r="N4" s="33"/>
      <c r="O4" s="33"/>
      <c r="P4" s="33"/>
      <c r="Q4" s="33"/>
    </row>
    <row r="6" spans="2:17" ht="20" x14ac:dyDescent="0.35">
      <c r="B6" s="34" t="s">
        <v>78</v>
      </c>
      <c r="C6" s="34"/>
      <c r="D6" s="34"/>
      <c r="F6" s="35" t="s">
        <v>79</v>
      </c>
      <c r="G6" s="35"/>
      <c r="H6" s="35"/>
      <c r="I6" s="35"/>
      <c r="J6" s="35"/>
      <c r="K6" s="35"/>
      <c r="L6" s="35"/>
      <c r="M6" s="35"/>
    </row>
    <row r="7" spans="2:17" ht="16.5" customHeight="1" x14ac:dyDescent="0.35">
      <c r="B7" s="17"/>
      <c r="C7" s="17"/>
    </row>
    <row r="8" spans="2:17" x14ac:dyDescent="0.35">
      <c r="B8" t="s">
        <v>81</v>
      </c>
    </row>
    <row r="9" spans="2:17" x14ac:dyDescent="0.35">
      <c r="B9" t="s">
        <v>82</v>
      </c>
    </row>
    <row r="10" spans="2:17" x14ac:dyDescent="0.35">
      <c r="B10" t="s">
        <v>83</v>
      </c>
    </row>
    <row r="11" spans="2:17" x14ac:dyDescent="0.35">
      <c r="B11" t="s">
        <v>80</v>
      </c>
    </row>
    <row r="13" spans="2:17" x14ac:dyDescent="0.35">
      <c r="B13" t="s">
        <v>84</v>
      </c>
    </row>
    <row r="15" spans="2:17" x14ac:dyDescent="0.35">
      <c r="B15" t="s">
        <v>85</v>
      </c>
    </row>
    <row r="18" spans="2:10" x14ac:dyDescent="0.35">
      <c r="B18" s="18" t="s">
        <v>86</v>
      </c>
      <c r="C18" s="2" t="s">
        <v>87</v>
      </c>
      <c r="D18" s="2" t="s">
        <v>88</v>
      </c>
      <c r="E18" s="2" t="s">
        <v>89</v>
      </c>
      <c r="F18" s="2" t="s">
        <v>90</v>
      </c>
      <c r="G18" s="2" t="s">
        <v>91</v>
      </c>
      <c r="H18" s="2" t="s">
        <v>92</v>
      </c>
      <c r="I18" s="2" t="s">
        <v>93</v>
      </c>
      <c r="J18" s="2" t="s">
        <v>94</v>
      </c>
    </row>
    <row r="19" spans="2:10" x14ac:dyDescent="0.35">
      <c r="B19" s="18" t="s">
        <v>95</v>
      </c>
      <c r="C19" s="19">
        <v>12755</v>
      </c>
      <c r="D19" s="19">
        <v>6790</v>
      </c>
      <c r="E19" s="19">
        <v>4878</v>
      </c>
      <c r="F19" s="19">
        <v>12104</v>
      </c>
      <c r="G19" s="19">
        <v>142796</v>
      </c>
      <c r="H19" s="19">
        <v>120660</v>
      </c>
      <c r="I19" s="19">
        <v>51118</v>
      </c>
      <c r="J19" s="19">
        <v>49528</v>
      </c>
    </row>
    <row r="20" spans="2:10" x14ac:dyDescent="0.35">
      <c r="B20" s="18" t="s">
        <v>109</v>
      </c>
      <c r="C20" s="3">
        <v>111</v>
      </c>
      <c r="D20" s="3">
        <v>222</v>
      </c>
      <c r="E20" s="3">
        <v>333</v>
      </c>
      <c r="F20" s="3">
        <v>444</v>
      </c>
      <c r="G20" s="3">
        <v>555</v>
      </c>
      <c r="H20" s="3">
        <v>666</v>
      </c>
      <c r="I20" s="3">
        <v>777</v>
      </c>
      <c r="J20" s="3">
        <v>888</v>
      </c>
    </row>
    <row r="21" spans="2:10" x14ac:dyDescent="0.35">
      <c r="B21" s="18" t="s">
        <v>110</v>
      </c>
      <c r="C21" s="3">
        <f>HLOOKUP(C18,'HLOOKUP another sheet'!$A$1:$I$3,MATCH($C$18,$B$18:$J$18,0),FALSE)</f>
        <v>59</v>
      </c>
      <c r="D21" s="3">
        <f>HLOOKUP(D18,'HLOOKUP another sheet'!$A$1:$I$3,MATCH($C$18,$B$18:$J$18,0),FALSE)</f>
        <v>-9.4</v>
      </c>
      <c r="E21" s="3">
        <f>HLOOKUP(E18,'HLOOKUP another sheet'!$A$1:$I$3,MATCH($C$18,$B$18:$J$18,0),FALSE)</f>
        <v>468</v>
      </c>
      <c r="F21" s="3">
        <f>HLOOKUP(F18,'HLOOKUP another sheet'!$A$1:$I$3,MATCH($C$18,$B$18:$J$18,0),FALSE)</f>
        <v>869</v>
      </c>
      <c r="G21" s="3">
        <f>HLOOKUP(G18,'HLOOKUP another sheet'!$A$1:$I$3,MATCH($C$18,$B$18:$J$18,0),FALSE)</f>
        <v>-238</v>
      </c>
      <c r="H21" s="3">
        <f>HLOOKUP(H18,'HLOOKUP another sheet'!$A$1:$I$3,MATCH($C$18,$B$18:$J$18,0),FALSE)</f>
        <v>-292</v>
      </c>
      <c r="I21" s="3">
        <f>HLOOKUP(I18,'HLOOKUP another sheet'!$A$1:$I$3,MATCH($C$18,$B$18:$J$18,0),FALSE)</f>
        <v>-357</v>
      </c>
      <c r="J21" s="3">
        <f>HLOOKUP(J18,'HLOOKUP another sheet'!$A$1:$I$3,MATCH($C$18,$B$18:$J$18,0),FALSE)</f>
        <v>-346</v>
      </c>
    </row>
    <row r="23" spans="2:10" x14ac:dyDescent="0.35">
      <c r="B23" s="4" t="s">
        <v>86</v>
      </c>
      <c r="C23" s="3" t="s">
        <v>93</v>
      </c>
    </row>
    <row r="24" spans="2:10" x14ac:dyDescent="0.35">
      <c r="B24" s="4" t="s">
        <v>95</v>
      </c>
      <c r="C24" s="3">
        <f>HLOOKUP($C$23,$B$18:$J$21,MATCH(B24,$B$18:$B$21,0),FALSE)</f>
        <v>51118</v>
      </c>
    </row>
    <row r="25" spans="2:10" x14ac:dyDescent="0.35">
      <c r="B25" s="4" t="s">
        <v>109</v>
      </c>
      <c r="C25" s="3">
        <f>HLOOKUP($C$23,$B$18:$J$21,MATCH(B25,$B$18:$B$21,0),0)</f>
        <v>777</v>
      </c>
    </row>
    <row r="26" spans="2:10" x14ac:dyDescent="0.35">
      <c r="B26" s="4" t="s">
        <v>110</v>
      </c>
      <c r="C26" s="3">
        <f>HLOOKUP($C$23,$B$18:$J$21,MATCH(B26,$B$18:$B$21,0),FALSE)</f>
        <v>-357</v>
      </c>
    </row>
  </sheetData>
  <dataConsolidate/>
  <mergeCells count="3">
    <mergeCell ref="B2:Q4"/>
    <mergeCell ref="B6:D6"/>
    <mergeCell ref="F6:M6"/>
  </mergeCells>
  <dataValidations count="1">
    <dataValidation type="list" allowBlank="1" showInputMessage="1" showErrorMessage="1" sqref="C23"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30" zoomScaleNormal="130" workbookViewId="0">
      <selection activeCell="D15" sqref="D15"/>
    </sheetView>
  </sheetViews>
  <sheetFormatPr defaultRowHeight="14.5" x14ac:dyDescent="0.35"/>
  <cols>
    <col min="1" max="1" width="14.54296875" bestFit="1" customWidth="1"/>
  </cols>
  <sheetData>
    <row r="1" spans="1:9" x14ac:dyDescent="0.35">
      <c r="A1" s="18" t="s">
        <v>86</v>
      </c>
      <c r="B1" s="2" t="s">
        <v>89</v>
      </c>
      <c r="C1" s="2" t="s">
        <v>90</v>
      </c>
      <c r="D1" s="2" t="s">
        <v>87</v>
      </c>
      <c r="E1" s="2" t="s">
        <v>88</v>
      </c>
      <c r="F1" s="2" t="s">
        <v>91</v>
      </c>
      <c r="G1" s="2" t="s">
        <v>92</v>
      </c>
      <c r="H1" s="2" t="s">
        <v>93</v>
      </c>
      <c r="I1" s="2" t="s">
        <v>94</v>
      </c>
    </row>
    <row r="2" spans="1:9" x14ac:dyDescent="0.35">
      <c r="A2" s="18" t="s">
        <v>110</v>
      </c>
      <c r="B2" s="2">
        <v>468</v>
      </c>
      <c r="C2" s="2">
        <v>869</v>
      </c>
      <c r="D2" s="2">
        <v>59</v>
      </c>
      <c r="E2" s="2">
        <v>-9.4</v>
      </c>
      <c r="F2" s="2">
        <v>-238</v>
      </c>
      <c r="G2" s="2">
        <v>-292</v>
      </c>
      <c r="H2" s="2">
        <v>-357</v>
      </c>
      <c r="I2" s="2">
        <v>-346</v>
      </c>
    </row>
    <row r="3" spans="1:9" x14ac:dyDescent="0.35">
      <c r="A3" s="18" t="s">
        <v>95</v>
      </c>
      <c r="B3" s="31">
        <f>HLOOKUP(B1,HLOOKUP!$B$18:$J$21,MATCH($B$1,$A$1:$I$1,0),FALSE)</f>
        <v>4878</v>
      </c>
      <c r="C3" s="31">
        <f>HLOOKUP(C1,HLOOKUP!$B$18:$J$21,MATCH($B$1,$A$1:$I$1,0),FALSE)</f>
        <v>12104</v>
      </c>
      <c r="D3" s="31">
        <f>HLOOKUP(D1,HLOOKUP!$B$18:$J$21,MATCH($B$1,$A$1:$I$1,0),FALSE)</f>
        <v>12755</v>
      </c>
      <c r="E3" s="31">
        <f>HLOOKUP(E1,HLOOKUP!$B$18:$J$21,MATCH($B$1,$A$1:$I$1,0),FALSE)</f>
        <v>6790</v>
      </c>
      <c r="F3" s="31">
        <f>HLOOKUP(F1,HLOOKUP!$B$18:$J$21,MATCH($B$1,$A$1:$I$1,0),FALSE)</f>
        <v>142796</v>
      </c>
      <c r="G3" s="31">
        <f>HLOOKUP(G1,HLOOKUP!$B$18:$J$21,MATCH($B$1,$A$1:$I$1,0),FALSE)</f>
        <v>120660</v>
      </c>
      <c r="H3" s="31">
        <f>HLOOKUP(H1,HLOOKUP!$B$18:$J$21,MATCH($B$1,$A$1:$I$1,0),FALSE)</f>
        <v>51118</v>
      </c>
      <c r="I3" s="31">
        <f>HLOOKUP(I1,HLOOKUP!$B$18:$J$21,MATCH($B$1,$A$1:$I$1,0),FALSE)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I23"/>
  <sheetViews>
    <sheetView tabSelected="1" zoomScaleNormal="100" workbookViewId="0">
      <selection activeCell="I18" sqref="I18"/>
    </sheetView>
  </sheetViews>
  <sheetFormatPr defaultRowHeight="14.5" x14ac:dyDescent="0.35"/>
  <cols>
    <col min="2" max="2" width="15.90625" bestFit="1" customWidth="1"/>
    <col min="5" max="5" width="11.7265625" bestFit="1" customWidth="1"/>
    <col min="7" max="7" width="7.453125" bestFit="1" customWidth="1"/>
    <col min="8" max="8" width="14.7265625" bestFit="1" customWidth="1"/>
  </cols>
  <sheetData>
    <row r="3" spans="2:9" ht="15.5" x14ac:dyDescent="0.35">
      <c r="B3" s="21" t="s">
        <v>96</v>
      </c>
      <c r="C3" s="22"/>
      <c r="D3" s="22"/>
      <c r="E3" s="22"/>
      <c r="F3" s="22"/>
      <c r="G3" s="22"/>
    </row>
    <row r="4" spans="2:9" ht="15.5" x14ac:dyDescent="0.35">
      <c r="B4" s="23"/>
      <c r="C4" s="23"/>
      <c r="D4" s="23"/>
      <c r="E4" s="23"/>
      <c r="F4" s="23"/>
      <c r="G4" s="23"/>
    </row>
    <row r="5" spans="2:9" ht="15.5" x14ac:dyDescent="0.35">
      <c r="B5" s="23" t="s">
        <v>97</v>
      </c>
      <c r="C5" s="24">
        <f ca="1">SUM(OFFSET(B7,1,3,5))</f>
        <v>20400</v>
      </c>
      <c r="D5" s="25"/>
      <c r="E5" s="25" t="s">
        <v>117</v>
      </c>
      <c r="F5" s="25">
        <f ca="1">SUM(OFFSET(B7,1,1,5,5))</f>
        <v>84000</v>
      </c>
      <c r="H5" s="25" t="s">
        <v>118</v>
      </c>
      <c r="I5">
        <f ca="1">SUM(OFFSET(B7,1,1,,5))</f>
        <v>24500</v>
      </c>
    </row>
    <row r="6" spans="2:9" ht="15.5" x14ac:dyDescent="0.35">
      <c r="B6" s="23"/>
      <c r="C6" s="23"/>
      <c r="D6" s="23"/>
      <c r="E6" s="23"/>
      <c r="F6" s="23"/>
      <c r="G6" s="23"/>
      <c r="I6" s="32"/>
    </row>
    <row r="7" spans="2:9" ht="15.5" x14ac:dyDescent="0.35">
      <c r="B7" s="26" t="s">
        <v>98</v>
      </c>
      <c r="C7" s="26" t="s">
        <v>18</v>
      </c>
      <c r="D7" s="26" t="s">
        <v>19</v>
      </c>
      <c r="E7" s="26" t="s">
        <v>20</v>
      </c>
      <c r="F7" s="26" t="s">
        <v>21</v>
      </c>
      <c r="G7" s="26" t="s">
        <v>99</v>
      </c>
    </row>
    <row r="8" spans="2:9" ht="15.5" x14ac:dyDescent="0.35">
      <c r="B8" s="26" t="s">
        <v>100</v>
      </c>
      <c r="C8" s="27">
        <v>4500</v>
      </c>
      <c r="D8" s="27">
        <v>5000</v>
      </c>
      <c r="E8" s="28">
        <v>5000</v>
      </c>
      <c r="F8" s="27">
        <v>5000</v>
      </c>
      <c r="G8" s="27">
        <v>5000</v>
      </c>
      <c r="I8" s="32"/>
    </row>
    <row r="9" spans="2:9" ht="15.5" x14ac:dyDescent="0.35">
      <c r="B9" s="26" t="s">
        <v>101</v>
      </c>
      <c r="C9" s="27">
        <v>3500</v>
      </c>
      <c r="D9" s="27">
        <v>2000</v>
      </c>
      <c r="E9" s="28">
        <v>3000</v>
      </c>
      <c r="F9" s="27">
        <v>3000</v>
      </c>
      <c r="G9" s="27">
        <v>3000</v>
      </c>
    </row>
    <row r="10" spans="2:9" ht="15.5" x14ac:dyDescent="0.35">
      <c r="B10" s="26" t="s">
        <v>102</v>
      </c>
      <c r="C10" s="29">
        <v>2500</v>
      </c>
      <c r="D10" s="27">
        <v>3200</v>
      </c>
      <c r="E10" s="28">
        <v>3500</v>
      </c>
      <c r="F10" s="27">
        <v>2500</v>
      </c>
      <c r="G10" s="27">
        <v>400</v>
      </c>
    </row>
    <row r="11" spans="2:9" ht="15.5" x14ac:dyDescent="0.35">
      <c r="B11" s="26" t="s">
        <v>103</v>
      </c>
      <c r="C11" s="27">
        <v>4200</v>
      </c>
      <c r="D11" s="27">
        <v>4800</v>
      </c>
      <c r="E11" s="28">
        <v>4500</v>
      </c>
      <c r="F11" s="27">
        <v>1500</v>
      </c>
      <c r="G11" s="27">
        <v>2500</v>
      </c>
    </row>
    <row r="12" spans="2:9" ht="15.5" x14ac:dyDescent="0.35">
      <c r="B12" s="26" t="s">
        <v>104</v>
      </c>
      <c r="C12" s="27">
        <v>5800</v>
      </c>
      <c r="D12" s="27">
        <v>3200</v>
      </c>
      <c r="E12" s="28">
        <v>4400</v>
      </c>
      <c r="F12" s="27">
        <v>1500</v>
      </c>
      <c r="G12" s="27">
        <v>500</v>
      </c>
    </row>
    <row r="15" spans="2:9" ht="15.5" x14ac:dyDescent="0.35">
      <c r="B15" s="26" t="s">
        <v>98</v>
      </c>
      <c r="C15" s="26" t="s">
        <v>18</v>
      </c>
      <c r="D15" s="26" t="s">
        <v>19</v>
      </c>
      <c r="E15" s="26" t="s">
        <v>20</v>
      </c>
      <c r="F15" s="26" t="s">
        <v>21</v>
      </c>
      <c r="G15" s="26" t="s">
        <v>99</v>
      </c>
    </row>
    <row r="16" spans="2:9" ht="15.5" x14ac:dyDescent="0.35">
      <c r="B16" s="26" t="s">
        <v>100</v>
      </c>
      <c r="C16" s="27">
        <v>4500</v>
      </c>
      <c r="D16" s="27">
        <v>5000</v>
      </c>
      <c r="E16" s="27">
        <v>5000</v>
      </c>
      <c r="F16" s="27">
        <v>5000</v>
      </c>
      <c r="G16" s="27">
        <v>5000</v>
      </c>
    </row>
    <row r="17" spans="2:7" ht="15.5" x14ac:dyDescent="0.35">
      <c r="B17" s="26" t="s">
        <v>101</v>
      </c>
      <c r="C17" s="27">
        <v>3500</v>
      </c>
      <c r="D17" s="27">
        <v>2000</v>
      </c>
      <c r="E17" s="27">
        <v>3000</v>
      </c>
      <c r="F17" s="27">
        <v>3000</v>
      </c>
      <c r="G17" s="27">
        <v>3000</v>
      </c>
    </row>
    <row r="18" spans="2:7" ht="15.5" x14ac:dyDescent="0.35">
      <c r="B18" s="26" t="s">
        <v>102</v>
      </c>
      <c r="C18" s="28">
        <v>2500</v>
      </c>
      <c r="D18" s="27">
        <v>3200</v>
      </c>
      <c r="E18" s="27">
        <v>3500</v>
      </c>
      <c r="F18" s="27">
        <v>2500</v>
      </c>
      <c r="G18" s="27">
        <v>400</v>
      </c>
    </row>
    <row r="19" spans="2:7" ht="15.5" x14ac:dyDescent="0.35">
      <c r="B19" s="26" t="s">
        <v>103</v>
      </c>
      <c r="C19" s="27">
        <v>4200</v>
      </c>
      <c r="D19" s="27">
        <v>4800</v>
      </c>
      <c r="E19" s="27">
        <v>4500</v>
      </c>
      <c r="F19" s="27">
        <v>1500</v>
      </c>
      <c r="G19" s="27">
        <v>2500</v>
      </c>
    </row>
    <row r="20" spans="2:7" ht="15.5" x14ac:dyDescent="0.35">
      <c r="B20" s="26" t="s">
        <v>104</v>
      </c>
      <c r="C20" s="27">
        <v>5800</v>
      </c>
      <c r="D20" s="27">
        <v>3200</v>
      </c>
      <c r="E20" s="27">
        <v>4400</v>
      </c>
      <c r="F20" s="27">
        <v>1500</v>
      </c>
      <c r="G20" s="27">
        <v>500</v>
      </c>
    </row>
    <row r="21" spans="2:7" ht="15.5" x14ac:dyDescent="0.35">
      <c r="B21" s="23"/>
      <c r="C21" s="23"/>
      <c r="D21" s="23"/>
      <c r="E21" s="23"/>
      <c r="F21" s="23"/>
      <c r="G21" s="23"/>
    </row>
    <row r="22" spans="2:7" ht="15.5" x14ac:dyDescent="0.35">
      <c r="B22" s="45" t="s">
        <v>106</v>
      </c>
      <c r="C22" s="30">
        <f ca="1">OFFSET(B15,3,1)</f>
        <v>2500</v>
      </c>
      <c r="D22" s="23"/>
      <c r="E22" s="23"/>
      <c r="F22" s="23"/>
      <c r="G22" s="23"/>
    </row>
    <row r="23" spans="2:7" x14ac:dyDescent="0.35">
      <c r="B23" s="45"/>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workbookViewId="0">
      <selection activeCell="J16" sqref="J16"/>
    </sheetView>
  </sheetViews>
  <sheetFormatPr defaultRowHeight="14.5" x14ac:dyDescent="0.35"/>
  <cols>
    <col min="2" max="2" width="20.1796875" bestFit="1" customWidth="1"/>
  </cols>
  <sheetData>
    <row r="2" spans="2:9" ht="15.5" x14ac:dyDescent="0.35">
      <c r="B2" s="21" t="s">
        <v>96</v>
      </c>
      <c r="C2" s="22"/>
      <c r="D2" s="22"/>
      <c r="E2" s="22"/>
      <c r="F2" s="22"/>
      <c r="G2" s="22"/>
      <c r="I2" t="s">
        <v>116</v>
      </c>
    </row>
    <row r="3" spans="2:9" ht="15.5" x14ac:dyDescent="0.35">
      <c r="B3" s="23"/>
      <c r="C3" s="23" t="s">
        <v>111</v>
      </c>
      <c r="D3" s="23" t="s">
        <v>112</v>
      </c>
      <c r="E3" s="23" t="s">
        <v>113</v>
      </c>
      <c r="F3" s="23" t="s">
        <v>114</v>
      </c>
      <c r="G3" s="23" t="s">
        <v>115</v>
      </c>
    </row>
    <row r="4" spans="2:9" ht="15.5" x14ac:dyDescent="0.35">
      <c r="B4" s="23" t="s">
        <v>105</v>
      </c>
      <c r="C4" s="25"/>
      <c r="D4" s="25"/>
      <c r="E4" s="25"/>
      <c r="F4" s="25"/>
      <c r="G4" s="25"/>
    </row>
    <row r="5" spans="2:9" ht="15.5" x14ac:dyDescent="0.35">
      <c r="B5" s="23"/>
      <c r="C5" s="23"/>
      <c r="D5" s="23"/>
      <c r="E5" s="23"/>
      <c r="F5" s="23"/>
      <c r="G5" s="23"/>
    </row>
    <row r="6" spans="2:9" ht="15.5" x14ac:dyDescent="0.35">
      <c r="B6" s="26" t="s">
        <v>98</v>
      </c>
      <c r="C6" s="26" t="s">
        <v>18</v>
      </c>
      <c r="D6" s="26" t="s">
        <v>19</v>
      </c>
      <c r="E6" s="26" t="s">
        <v>20</v>
      </c>
      <c r="F6" s="26" t="s">
        <v>21</v>
      </c>
      <c r="G6" s="26" t="s">
        <v>99</v>
      </c>
    </row>
    <row r="7" spans="2:9" ht="15.5" x14ac:dyDescent="0.35">
      <c r="B7" s="26" t="s">
        <v>100</v>
      </c>
      <c r="C7" s="27">
        <v>4500</v>
      </c>
      <c r="D7" s="27">
        <v>5000</v>
      </c>
      <c r="E7" s="27">
        <v>5000</v>
      </c>
      <c r="F7" s="27">
        <v>5000</v>
      </c>
      <c r="G7" s="27">
        <v>5000</v>
      </c>
    </row>
    <row r="8" spans="2:9" ht="15.5" x14ac:dyDescent="0.35">
      <c r="B8" s="26" t="s">
        <v>101</v>
      </c>
      <c r="C8" s="27">
        <v>3500</v>
      </c>
      <c r="D8" s="27">
        <v>2000</v>
      </c>
      <c r="E8" s="27">
        <v>3000</v>
      </c>
      <c r="F8" s="27">
        <v>3000</v>
      </c>
      <c r="G8" s="27">
        <v>3000</v>
      </c>
    </row>
    <row r="9" spans="2:9" ht="15.5" x14ac:dyDescent="0.35">
      <c r="B9" s="26" t="s">
        <v>102</v>
      </c>
      <c r="C9" s="29">
        <v>2500</v>
      </c>
      <c r="D9" s="27">
        <v>3200</v>
      </c>
      <c r="E9" s="27">
        <v>3500</v>
      </c>
      <c r="F9" s="27">
        <v>2500</v>
      </c>
      <c r="G9" s="27">
        <v>400</v>
      </c>
    </row>
    <row r="10" spans="2:9" ht="15.5" x14ac:dyDescent="0.35">
      <c r="B10" s="26" t="s">
        <v>103</v>
      </c>
      <c r="C10" s="27">
        <v>4200</v>
      </c>
      <c r="D10" s="27">
        <v>4800</v>
      </c>
      <c r="E10" s="27">
        <v>4500</v>
      </c>
      <c r="F10" s="27">
        <v>1500</v>
      </c>
      <c r="G10" s="27">
        <v>2500</v>
      </c>
    </row>
    <row r="11" spans="2:9" ht="15.5" x14ac:dyDescent="0.35">
      <c r="B11" s="26" t="s">
        <v>104</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MATCH</vt:lpstr>
      <vt:lpstr>INDEX MATCH</vt:lpstr>
      <vt:lpstr>VLOOKUP</vt:lpstr>
      <vt:lpstr>HLOOKUP</vt:lpstr>
      <vt:lpstr>HLOOKUP another sheet</vt:lpstr>
      <vt:lpstr>OFFSET</vt:lpstr>
      <vt:lpstr>OFFSET-1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mayank dewangan</cp:lastModifiedBy>
  <dcterms:created xsi:type="dcterms:W3CDTF">2015-06-05T18:17:20Z</dcterms:created>
  <dcterms:modified xsi:type="dcterms:W3CDTF">2026-10-10T04:39:51Z</dcterms:modified>
</cp:coreProperties>
</file>